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2F4A1021FFF46D/เดสก์ท็อป/"/>
    </mc:Choice>
  </mc:AlternateContent>
  <xr:revisionPtr revIDLastSave="0" documentId="8_{CCC6BB2E-4286-4CD3-A670-8F684CDF697E}" xr6:coauthVersionLast="47" xr6:coauthVersionMax="47" xr10:uidLastSave="{00000000-0000-0000-0000-000000000000}"/>
  <bookViews>
    <workbookView xWindow="28680" yWindow="2910" windowWidth="29040" windowHeight="15720" activeTab="3" xr2:uid="{331570A1-CA06-4E85-B1B6-5941A7F6E941}"/>
  </bookViews>
  <sheets>
    <sheet name="ข้อมูลทั่วไป (เก็บ 1 ครั้ง) " sheetId="1" r:id="rId1"/>
    <sheet name="คาดการณ์ผลผลิต" sheetId="4" r:id="rId2"/>
    <sheet name="ผลผลิตในรอบการตัด" sheetId="5" r:id="rId3"/>
    <sheet name="ข้อมูลพื้นที่ ผลผลิต 69 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6" l="1"/>
  <c r="D6" i="6"/>
  <c r="C6" i="6"/>
  <c r="B6" i="6"/>
</calcChain>
</file>

<file path=xl/sharedStrings.xml><?xml version="1.0" encoding="utf-8"?>
<sst xmlns="http://schemas.openxmlformats.org/spreadsheetml/2006/main" count="150" uniqueCount="85">
  <si>
    <t xml:space="preserve">ชื่อ - สกุล </t>
  </si>
  <si>
    <t xml:space="preserve">ที่อยู่  </t>
  </si>
  <si>
    <t xml:space="preserve">อายุ </t>
  </si>
  <si>
    <t xml:space="preserve">เบอร์โทรศัพท์  </t>
  </si>
  <si>
    <t xml:space="preserve">พื้นที่ปลูกมะพร้าว  </t>
  </si>
  <si>
    <t>พื้นที่ให้ผลผลิต</t>
  </si>
  <si>
    <t xml:space="preserve">พิกัดแปลง  </t>
  </si>
  <si>
    <t>zone</t>
  </si>
  <si>
    <t>x</t>
  </si>
  <si>
    <t>y</t>
  </si>
  <si>
    <t>อายุพืช</t>
  </si>
  <si>
    <t xml:space="preserve">จำนวนต้น/ไร่ </t>
  </si>
  <si>
    <t>มาตรฐานการผลิต</t>
  </si>
  <si>
    <t>ลำดับที่</t>
  </si>
  <si>
    <t>ชุดดิน</t>
  </si>
  <si>
    <t>ต้นที่ 1</t>
  </si>
  <si>
    <t>มค</t>
  </si>
  <si>
    <t>กพ</t>
  </si>
  <si>
    <t>มีค</t>
  </si>
  <si>
    <t>เมย</t>
  </si>
  <si>
    <t>พค</t>
  </si>
  <si>
    <t>มิย</t>
  </si>
  <si>
    <t>กค</t>
  </si>
  <si>
    <t>สค</t>
  </si>
  <si>
    <t>กย</t>
  </si>
  <si>
    <t>ตค</t>
  </si>
  <si>
    <t>พย</t>
  </si>
  <si>
    <t>ธค</t>
  </si>
  <si>
    <t>ทะลายที่</t>
  </si>
  <si>
    <t>จำนวนผลที่เก็บเกี่ยว</t>
  </si>
  <si>
    <t xml:space="preserve">ลำดับที่ </t>
  </si>
  <si>
    <t xml:space="preserve">ชื่อ สกุล </t>
  </si>
  <si>
    <t>ผลผลิตรวม (ผล)</t>
  </si>
  <si>
    <t>ผลผลิตเฉลี่ยต่อไร่(ผล/ไร่)</t>
  </si>
  <si>
    <t>ราคาผลผลิต (บาท/ผล)</t>
  </si>
  <si>
    <t>ปริมาณผลควบ (ผล)(ประมาณการณ์)</t>
  </si>
  <si>
    <t>ผลเสีย(ผล)(ประมาณการณ์)</t>
  </si>
  <si>
    <t>มะพร้าวอ่อน : เนื้อที่ยืนต้น เนื้อที่ให้ผล ผลผลิต และผลผลิตต่อไร่ต่อเนื้อที่ให้ผล รายอำเภอ ปี 2565 - 2568</t>
  </si>
  <si>
    <t>ภาค/จังหวัด/อำเภอ</t>
  </si>
  <si>
    <t>เนื้อที่ยืนต้น (ไร่) ณ 1 มกราคม</t>
  </si>
  <si>
    <t>เนื้อที่ให้ผล (ไร่)</t>
  </si>
  <si>
    <t>ผลผลิต (ผล)</t>
  </si>
  <si>
    <t>ผลผลิตต่อไร่ต่อเนื้อที่ให้ผล (ผล)</t>
  </si>
  <si>
    <t>ภาคตะวันตก</t>
  </si>
  <si>
    <t>ราชบุรี</t>
  </si>
  <si>
    <t>เมืองราชบุรี</t>
  </si>
  <si>
    <t>ปากท่อ</t>
  </si>
  <si>
    <t>วัดเพลง</t>
  </si>
  <si>
    <t>ดำเนินสะดวก</t>
  </si>
  <si>
    <t>บางแพ</t>
  </si>
  <si>
    <t>บ้านโป่ง</t>
  </si>
  <si>
    <t>โพธาราม</t>
  </si>
  <si>
    <t>จอมบึง</t>
  </si>
  <si>
    <t>สวนผึ้ง</t>
  </si>
  <si>
    <t>บ้านคา</t>
  </si>
  <si>
    <t>นครปฐม</t>
  </si>
  <si>
    <t>เมืองนครปฐม</t>
  </si>
  <si>
    <t>กำแพงแสน</t>
  </si>
  <si>
    <t>นครชัยศรี</t>
  </si>
  <si>
    <t>ดอนตูม</t>
  </si>
  <si>
    <t>บางเลน</t>
  </si>
  <si>
    <t>สามพราน</t>
  </si>
  <si>
    <t>พุทธมณฑล</t>
  </si>
  <si>
    <t>สมุทรสงคราม</t>
  </si>
  <si>
    <t>เมืองสมุทรสงคราม</t>
  </si>
  <si>
    <t>บางคนที</t>
  </si>
  <si>
    <t>อัมพวา</t>
  </si>
  <si>
    <t>สมุทรสาคร</t>
  </si>
  <si>
    <t>เมืองสมุทรสาคร</t>
  </si>
  <si>
    <t>กระทุ่มแบน</t>
  </si>
  <si>
    <t>บ้านแพ้ว</t>
  </si>
  <si>
    <t>หมายเหตุ: ปี 2565 - 2568 เป็นข้อมูลผ่านคณะทำงานพัฒนาคุณภาพข้อมูลปริมาณการผลิตสินค้าเกษตรด้านพืช ภาคตะวันตก, ปี 2569 เป็นข้อมูลคาดการณ์ระดับจังหวัด  ณ เดือนสิงหาคม 2569</t>
  </si>
  <si>
    <t>แปลงที่ 1</t>
  </si>
  <si>
    <t>จุดที่ 1</t>
  </si>
  <si>
    <t xml:space="preserve">แปลงที่ 1 </t>
  </si>
  <si>
    <t>ต้นที่ 2</t>
  </si>
  <si>
    <t>ต้นที่ 3</t>
  </si>
  <si>
    <t>C</t>
  </si>
  <si>
    <t>L</t>
  </si>
  <si>
    <t>R</t>
  </si>
  <si>
    <t>F</t>
  </si>
  <si>
    <t>B</t>
  </si>
  <si>
    <t>จังหวัด</t>
  </si>
  <si>
    <t xml:space="preserve">รอบการตัด  </t>
  </si>
  <si>
    <t>วัน/เดือนที่ตัด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</si>
</sst>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0" fontId="6" fillId="0" borderId="0"/>
    <xf numFmtId="0" fontId="3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 applyAlignment="1">
      <alignment horizontal="right"/>
    </xf>
    <xf numFmtId="0" fontId="0" fillId="0" borderId="2" xfId="0" applyBorder="1" applyAlignment="1">
      <alignment horizontal="right" wrapText="1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7" fillId="0" borderId="0" xfId="2" applyFont="1" applyAlignment="1">
      <alignment horizontal="left" vertical="center"/>
    </xf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5" fontId="7" fillId="0" borderId="1" xfId="1" applyNumberFormat="1" applyFont="1" applyBorder="1"/>
    <xf numFmtId="165" fontId="9" fillId="0" borderId="1" xfId="3" applyNumberFormat="1" applyFont="1" applyFill="1" applyBorder="1" applyAlignment="1">
      <alignment horizontal="left" vertical="center"/>
    </xf>
    <xf numFmtId="165" fontId="7" fillId="0" borderId="1" xfId="1" applyNumberFormat="1" applyFont="1" applyBorder="1" applyAlignment="1">
      <alignment vertical="center"/>
    </xf>
    <xf numFmtId="165" fontId="10" fillId="0" borderId="1" xfId="3" applyNumberFormat="1" applyFont="1" applyFill="1" applyBorder="1" applyAlignment="1">
      <alignment horizontal="left" vertical="center"/>
    </xf>
    <xf numFmtId="165" fontId="8" fillId="0" borderId="1" xfId="1" applyNumberFormat="1" applyFont="1" applyBorder="1" applyAlignment="1">
      <alignment vertical="center"/>
    </xf>
    <xf numFmtId="0" fontId="9" fillId="0" borderId="1" xfId="4" applyFont="1" applyBorder="1" applyAlignment="1">
      <alignment horizontal="left" vertical="center"/>
    </xf>
    <xf numFmtId="0" fontId="10" fillId="0" borderId="1" xfId="4" applyFont="1" applyBorder="1" applyAlignment="1">
      <alignment horizontal="left" vertical="center"/>
    </xf>
    <xf numFmtId="0" fontId="10" fillId="5" borderId="0" xfId="5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6">
    <cellStyle name="Comma" xfId="1" builtinId="3"/>
    <cellStyle name="Normal" xfId="0" builtinId="0"/>
    <cellStyle name="เครื่องหมายจุลภาค 5" xfId="3" xr:uid="{EB6C676B-7EB7-4B75-94A5-759A02AB7ED1}"/>
    <cellStyle name="ปกติ 2 4" xfId="5" xr:uid="{E7838966-1401-4ED5-AE43-9F805B5AE18B}"/>
    <cellStyle name="ปกติ_Sheet1" xfId="2" xr:uid="{3F981710-5CBE-4ACC-9BAC-DFF424A6BF4E}"/>
    <cellStyle name="ปกติ_Sheet2" xfId="4" xr:uid="{A0CAD374-BEDC-433B-A074-EA2292098B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60EE-37F4-4A54-B052-3D9EC4065C44}">
  <dimension ref="A1:N2"/>
  <sheetViews>
    <sheetView zoomScale="130" zoomScaleNormal="130" workbookViewId="0">
      <selection activeCell="H15" sqref="H15"/>
    </sheetView>
  </sheetViews>
  <sheetFormatPr defaultRowHeight="15"/>
  <cols>
    <col min="2" max="2" width="22.85546875" customWidth="1"/>
    <col min="3" max="3" width="25.5703125" customWidth="1"/>
    <col min="5" max="5" width="12.85546875" customWidth="1"/>
    <col min="6" max="6" width="15.85546875" customWidth="1"/>
    <col min="7" max="9" width="13.140625" customWidth="1"/>
    <col min="13" max="13" width="15.140625" customWidth="1"/>
    <col min="14" max="14" width="10.5703125" customWidth="1"/>
  </cols>
  <sheetData>
    <row r="1" spans="1:14">
      <c r="A1" s="31" t="s">
        <v>13</v>
      </c>
      <c r="B1" s="31" t="s">
        <v>0</v>
      </c>
      <c r="C1" s="31" t="s">
        <v>1</v>
      </c>
      <c r="D1" s="31" t="s">
        <v>2</v>
      </c>
      <c r="E1" s="31" t="s">
        <v>3</v>
      </c>
      <c r="F1" s="31" t="s">
        <v>4</v>
      </c>
      <c r="G1" s="31" t="s">
        <v>5</v>
      </c>
      <c r="H1" s="31" t="s">
        <v>10</v>
      </c>
      <c r="I1" s="31" t="s">
        <v>11</v>
      </c>
      <c r="J1" s="31" t="s">
        <v>6</v>
      </c>
      <c r="K1" s="31"/>
      <c r="L1" s="31"/>
      <c r="M1" s="31" t="s">
        <v>12</v>
      </c>
      <c r="N1" s="31" t="s">
        <v>14</v>
      </c>
    </row>
    <row r="2" spans="1:14">
      <c r="A2" s="31"/>
      <c r="B2" s="31"/>
      <c r="C2" s="31"/>
      <c r="D2" s="31"/>
      <c r="E2" s="31"/>
      <c r="F2" s="31"/>
      <c r="G2" s="31"/>
      <c r="H2" s="31"/>
      <c r="I2" s="31"/>
      <c r="J2" s="11" t="s">
        <v>7</v>
      </c>
      <c r="K2" s="11" t="s">
        <v>8</v>
      </c>
      <c r="L2" s="11" t="s">
        <v>9</v>
      </c>
      <c r="M2" s="31"/>
      <c r="N2" s="31"/>
    </row>
  </sheetData>
  <mergeCells count="12">
    <mergeCell ref="M1:M2"/>
    <mergeCell ref="N1:N2"/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5C4D-4220-45AE-BEF6-2ADB5D2A94B7}">
  <dimension ref="A1:V79"/>
  <sheetViews>
    <sheetView topLeftCell="A64" workbookViewId="0">
      <selection activeCell="I70" sqref="I70"/>
    </sheetView>
  </sheetViews>
  <sheetFormatPr defaultRowHeight="15"/>
  <sheetData>
    <row r="1" spans="1:22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2">
      <c r="A2" s="2" t="s">
        <v>15</v>
      </c>
      <c r="B2" s="3" t="s">
        <v>28</v>
      </c>
      <c r="C2" s="4">
        <v>1</v>
      </c>
      <c r="D2" s="4">
        <v>2</v>
      </c>
      <c r="E2" s="4">
        <v>3</v>
      </c>
      <c r="F2" s="4">
        <v>4</v>
      </c>
      <c r="G2" s="4">
        <v>5</v>
      </c>
      <c r="H2" s="4">
        <v>6</v>
      </c>
      <c r="I2" s="4">
        <v>7</v>
      </c>
      <c r="J2" s="4">
        <v>8</v>
      </c>
      <c r="K2" s="4">
        <v>9</v>
      </c>
      <c r="L2" s="4">
        <v>10</v>
      </c>
      <c r="M2" s="4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</row>
    <row r="3" spans="1:22">
      <c r="A3" s="1" t="s">
        <v>77</v>
      </c>
      <c r="B3" s="6" t="s">
        <v>16</v>
      </c>
      <c r="C3" s="10"/>
      <c r="D3" s="10"/>
      <c r="E3" s="10"/>
      <c r="F3" s="10"/>
      <c r="G3" s="10"/>
      <c r="H3" s="5"/>
      <c r="I3" s="5"/>
      <c r="J3" s="5"/>
      <c r="K3" s="5"/>
      <c r="L3" s="5"/>
      <c r="M3" s="5"/>
      <c r="N3" s="5"/>
      <c r="O3" s="5"/>
      <c r="P3" s="5"/>
      <c r="Q3" s="7"/>
      <c r="R3" s="7"/>
      <c r="S3" s="7"/>
      <c r="T3" s="7"/>
      <c r="U3" s="7"/>
      <c r="V3" s="7"/>
    </row>
    <row r="4" spans="1:22">
      <c r="A4" s="5" t="s">
        <v>73</v>
      </c>
      <c r="B4" s="6" t="s">
        <v>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/>
      <c r="R4" s="7"/>
      <c r="S4" s="7"/>
      <c r="T4" s="7"/>
      <c r="U4" s="7"/>
      <c r="V4" s="7"/>
    </row>
    <row r="5" spans="1:22">
      <c r="A5" s="5"/>
      <c r="B5" s="8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7"/>
      <c r="R5" s="7"/>
      <c r="S5" s="7"/>
      <c r="T5" s="7"/>
      <c r="U5" s="7"/>
      <c r="V5" s="7"/>
    </row>
    <row r="6" spans="1:22">
      <c r="A6" s="5"/>
      <c r="B6" s="6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7"/>
      <c r="Q6" s="7"/>
      <c r="R6" s="7"/>
      <c r="S6" s="7"/>
      <c r="T6" s="7"/>
      <c r="U6" s="7"/>
      <c r="V6" s="7"/>
    </row>
    <row r="7" spans="1:22">
      <c r="A7" s="5"/>
      <c r="B7" s="6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7"/>
      <c r="Q7" s="7"/>
      <c r="R7" s="7"/>
      <c r="S7" s="7"/>
      <c r="T7" s="7"/>
      <c r="U7" s="7"/>
      <c r="V7" s="7"/>
    </row>
    <row r="8" spans="1:22">
      <c r="A8" s="5"/>
      <c r="B8" s="6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7"/>
      <c r="Q8" s="7"/>
      <c r="R8" s="7"/>
      <c r="S8" s="7"/>
      <c r="T8" s="7"/>
      <c r="U8" s="7"/>
      <c r="V8" s="7"/>
    </row>
    <row r="9" spans="1:22">
      <c r="A9" s="5"/>
      <c r="B9" s="6" t="s">
        <v>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7"/>
      <c r="Q9" s="7"/>
      <c r="R9" s="7"/>
      <c r="S9" s="7"/>
      <c r="T9" s="7"/>
      <c r="U9" s="7"/>
      <c r="V9" s="7"/>
    </row>
    <row r="10" spans="1:22">
      <c r="A10" s="5"/>
      <c r="B10" s="6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7"/>
      <c r="Q10" s="7"/>
      <c r="R10" s="7"/>
      <c r="S10" s="7"/>
      <c r="T10" s="7"/>
      <c r="U10" s="7"/>
      <c r="V10" s="7"/>
    </row>
    <row r="11" spans="1:22">
      <c r="A11" s="5"/>
      <c r="B11" s="6" t="s">
        <v>24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7"/>
      <c r="Q11" s="7"/>
      <c r="R11" s="7"/>
      <c r="S11" s="7"/>
      <c r="T11" s="7"/>
      <c r="U11" s="7"/>
      <c r="V11" s="7"/>
    </row>
    <row r="12" spans="1:22">
      <c r="A12" s="5"/>
      <c r="B12" s="6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7"/>
      <c r="Q12" s="7"/>
      <c r="R12" s="7"/>
      <c r="S12" s="7"/>
      <c r="T12" s="7"/>
      <c r="U12" s="7"/>
      <c r="V12" s="7"/>
    </row>
    <row r="13" spans="1:22">
      <c r="A13" s="5"/>
      <c r="B13" s="6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/>
      <c r="R13" s="7"/>
      <c r="S13" s="7"/>
      <c r="T13" s="7"/>
      <c r="U13" s="7"/>
      <c r="V13" s="7"/>
    </row>
    <row r="14" spans="1:22">
      <c r="A14" s="5"/>
      <c r="B14" s="6" t="s">
        <v>27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7"/>
      <c r="S14" s="7"/>
      <c r="T14" s="7"/>
      <c r="U14" s="7"/>
      <c r="V14" s="7"/>
    </row>
    <row r="15" spans="1:22" ht="45">
      <c r="B15" s="9" t="s">
        <v>29</v>
      </c>
    </row>
    <row r="17" spans="1:22">
      <c r="A17" s="1" t="s">
        <v>74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22">
      <c r="A18" s="2" t="s">
        <v>75</v>
      </c>
      <c r="B18" s="3" t="s">
        <v>28</v>
      </c>
      <c r="C18" s="4">
        <v>1</v>
      </c>
      <c r="D18" s="4">
        <v>2</v>
      </c>
      <c r="E18" s="4">
        <v>3</v>
      </c>
      <c r="F18" s="4">
        <v>4</v>
      </c>
      <c r="G18" s="4">
        <v>5</v>
      </c>
      <c r="H18" s="4">
        <v>6</v>
      </c>
      <c r="I18" s="4">
        <v>7</v>
      </c>
      <c r="J18" s="4">
        <v>8</v>
      </c>
      <c r="K18" s="4">
        <v>9</v>
      </c>
      <c r="L18" s="4">
        <v>10</v>
      </c>
      <c r="M18" s="4">
        <v>11</v>
      </c>
      <c r="N18" s="4">
        <v>12</v>
      </c>
      <c r="O18" s="4">
        <v>13</v>
      </c>
      <c r="P18" s="4">
        <v>14</v>
      </c>
      <c r="Q18" s="4">
        <v>15</v>
      </c>
      <c r="R18" s="4">
        <v>16</v>
      </c>
      <c r="S18" s="4">
        <v>17</v>
      </c>
      <c r="T18" s="4">
        <v>18</v>
      </c>
      <c r="U18" s="4">
        <v>19</v>
      </c>
      <c r="V18" s="4">
        <v>20</v>
      </c>
    </row>
    <row r="19" spans="1:22">
      <c r="A19" s="1" t="s">
        <v>78</v>
      </c>
      <c r="B19" s="6" t="s">
        <v>16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7"/>
      <c r="R19" s="7"/>
      <c r="S19" s="7"/>
      <c r="T19" s="7"/>
      <c r="U19" s="7"/>
      <c r="V19" s="7"/>
    </row>
    <row r="20" spans="1:22">
      <c r="A20" s="5" t="s">
        <v>73</v>
      </c>
      <c r="B20" s="6" t="s">
        <v>17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/>
      <c r="S20" s="7"/>
      <c r="T20" s="7"/>
      <c r="U20" s="7"/>
      <c r="V20" s="7"/>
    </row>
    <row r="21" spans="1:22">
      <c r="A21" s="5"/>
      <c r="B21" s="8" t="s">
        <v>18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/>
      <c r="S21" s="7"/>
      <c r="T21" s="7"/>
      <c r="U21" s="7"/>
      <c r="V21" s="7"/>
    </row>
    <row r="22" spans="1:22">
      <c r="A22" s="5"/>
      <c r="B22" s="6" t="s">
        <v>19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7"/>
      <c r="Q22" s="7"/>
      <c r="R22" s="7"/>
      <c r="S22" s="7"/>
      <c r="T22" s="7"/>
      <c r="U22" s="7"/>
      <c r="V22" s="7"/>
    </row>
    <row r="23" spans="1:22">
      <c r="A23" s="5"/>
      <c r="B23" s="6" t="s">
        <v>20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7"/>
      <c r="Q23" s="7"/>
      <c r="R23" s="7"/>
      <c r="S23" s="7"/>
      <c r="T23" s="7"/>
      <c r="U23" s="7"/>
      <c r="V23" s="7"/>
    </row>
    <row r="24" spans="1:22">
      <c r="A24" s="5"/>
      <c r="B24" s="6" t="s">
        <v>21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7"/>
      <c r="Q24" s="7"/>
      <c r="R24" s="7"/>
      <c r="S24" s="7"/>
      <c r="T24" s="7"/>
      <c r="U24" s="7"/>
      <c r="V24" s="7"/>
    </row>
    <row r="25" spans="1:22">
      <c r="A25" s="5"/>
      <c r="B25" s="6" t="s">
        <v>22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7"/>
      <c r="Q25" s="7"/>
      <c r="R25" s="7"/>
      <c r="S25" s="7"/>
      <c r="T25" s="7"/>
      <c r="U25" s="7"/>
      <c r="V25" s="7"/>
    </row>
    <row r="26" spans="1:22">
      <c r="A26" s="5"/>
      <c r="B26" s="6" t="s">
        <v>23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7"/>
      <c r="Q26" s="7"/>
      <c r="R26" s="7"/>
      <c r="S26" s="7"/>
      <c r="T26" s="7"/>
      <c r="U26" s="7"/>
      <c r="V26" s="7"/>
    </row>
    <row r="27" spans="1:22">
      <c r="A27" s="5"/>
      <c r="B27" s="6" t="s">
        <v>24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7"/>
      <c r="R27" s="7"/>
      <c r="S27" s="7"/>
      <c r="T27" s="7"/>
      <c r="U27" s="7"/>
      <c r="V27" s="7"/>
    </row>
    <row r="28" spans="1:22">
      <c r="A28" s="5"/>
      <c r="B28" s="6" t="s">
        <v>25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7"/>
      <c r="Q28" s="7"/>
      <c r="R28" s="7"/>
      <c r="S28" s="7"/>
      <c r="T28" s="7"/>
      <c r="U28" s="7"/>
      <c r="V28" s="7"/>
    </row>
    <row r="29" spans="1:22">
      <c r="A29" s="5"/>
      <c r="B29" s="6" t="s">
        <v>26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/>
      <c r="R29" s="7"/>
      <c r="S29" s="7"/>
      <c r="T29" s="7"/>
      <c r="U29" s="7"/>
      <c r="V29" s="7"/>
    </row>
    <row r="30" spans="1:22">
      <c r="A30" s="5"/>
      <c r="B30" s="6" t="s">
        <v>27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7"/>
      <c r="S30" s="7"/>
      <c r="T30" s="7"/>
      <c r="U30" s="7"/>
      <c r="V30" s="7"/>
    </row>
    <row r="31" spans="1:22" ht="45">
      <c r="B31" s="9" t="s">
        <v>29</v>
      </c>
    </row>
    <row r="33" spans="1:22">
      <c r="A33" s="1" t="s">
        <v>72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22">
      <c r="A34" s="2" t="s">
        <v>76</v>
      </c>
      <c r="B34" s="3" t="s">
        <v>28</v>
      </c>
      <c r="C34" s="4">
        <v>1</v>
      </c>
      <c r="D34" s="4">
        <v>2</v>
      </c>
      <c r="E34" s="4">
        <v>3</v>
      </c>
      <c r="F34" s="4">
        <v>4</v>
      </c>
      <c r="G34" s="4">
        <v>5</v>
      </c>
      <c r="H34" s="4">
        <v>6</v>
      </c>
      <c r="I34" s="4">
        <v>7</v>
      </c>
      <c r="J34" s="4">
        <v>8</v>
      </c>
      <c r="K34" s="4">
        <v>9</v>
      </c>
      <c r="L34" s="4">
        <v>10</v>
      </c>
      <c r="M34" s="4">
        <v>11</v>
      </c>
      <c r="N34" s="4">
        <v>12</v>
      </c>
      <c r="O34" s="4">
        <v>13</v>
      </c>
      <c r="P34" s="4">
        <v>14</v>
      </c>
      <c r="Q34" s="4">
        <v>15</v>
      </c>
      <c r="R34" s="4">
        <v>16</v>
      </c>
      <c r="S34" s="4">
        <v>17</v>
      </c>
      <c r="T34" s="4">
        <v>18</v>
      </c>
      <c r="U34" s="4">
        <v>19</v>
      </c>
      <c r="V34" s="4">
        <v>20</v>
      </c>
    </row>
    <row r="35" spans="1:22">
      <c r="A35" s="5" t="s">
        <v>79</v>
      </c>
      <c r="B35" s="6" t="s">
        <v>16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/>
      <c r="R35" s="7"/>
      <c r="S35" s="7"/>
      <c r="T35" s="7"/>
      <c r="U35" s="7"/>
      <c r="V35" s="7"/>
    </row>
    <row r="36" spans="1:22">
      <c r="A36" s="5" t="s">
        <v>73</v>
      </c>
      <c r="B36" s="6" t="s">
        <v>17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7"/>
      <c r="R36" s="7"/>
      <c r="S36" s="7"/>
      <c r="T36" s="7"/>
      <c r="U36" s="7"/>
      <c r="V36" s="7"/>
    </row>
    <row r="37" spans="1:22">
      <c r="A37" s="5"/>
      <c r="B37" s="8" t="s">
        <v>18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7"/>
      <c r="R37" s="7"/>
      <c r="S37" s="7"/>
      <c r="T37" s="7"/>
      <c r="U37" s="7"/>
      <c r="V37" s="7"/>
    </row>
    <row r="38" spans="1:22">
      <c r="A38" s="5"/>
      <c r="B38" s="6" t="s">
        <v>19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7"/>
      <c r="Q38" s="7"/>
      <c r="R38" s="7"/>
      <c r="S38" s="7"/>
      <c r="T38" s="7"/>
      <c r="U38" s="7"/>
      <c r="V38" s="7"/>
    </row>
    <row r="39" spans="1:22">
      <c r="A39" s="5"/>
      <c r="B39" s="6" t="s">
        <v>20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7"/>
      <c r="Q39" s="7"/>
      <c r="R39" s="7"/>
      <c r="S39" s="7"/>
      <c r="T39" s="7"/>
      <c r="U39" s="7"/>
      <c r="V39" s="7"/>
    </row>
    <row r="40" spans="1:22">
      <c r="A40" s="5"/>
      <c r="B40" s="6" t="s">
        <v>21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7"/>
      <c r="Q40" s="7"/>
      <c r="R40" s="7"/>
      <c r="S40" s="7"/>
      <c r="T40" s="7"/>
      <c r="U40" s="7"/>
      <c r="V40" s="7"/>
    </row>
    <row r="41" spans="1:22">
      <c r="A41" s="5"/>
      <c r="B41" s="6" t="s">
        <v>22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7"/>
      <c r="Q41" s="7"/>
      <c r="R41" s="7"/>
      <c r="S41" s="7"/>
      <c r="T41" s="7"/>
      <c r="U41" s="7"/>
      <c r="V41" s="7"/>
    </row>
    <row r="42" spans="1:22">
      <c r="A42" s="5"/>
      <c r="B42" s="6" t="s">
        <v>23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7"/>
      <c r="Q42" s="7"/>
      <c r="R42" s="7"/>
      <c r="S42" s="7"/>
      <c r="T42" s="7"/>
      <c r="U42" s="7"/>
      <c r="V42" s="7"/>
    </row>
    <row r="43" spans="1:22">
      <c r="A43" s="5"/>
      <c r="B43" s="6" t="s">
        <v>24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7"/>
      <c r="Q43" s="7"/>
      <c r="R43" s="7"/>
      <c r="S43" s="7"/>
      <c r="T43" s="7"/>
      <c r="U43" s="7"/>
      <c r="V43" s="7"/>
    </row>
    <row r="44" spans="1:22">
      <c r="A44" s="5"/>
      <c r="B44" s="6" t="s">
        <v>25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7"/>
      <c r="Q44" s="7"/>
      <c r="R44" s="7"/>
      <c r="S44" s="7"/>
      <c r="T44" s="7"/>
      <c r="U44" s="7"/>
      <c r="V44" s="7"/>
    </row>
    <row r="45" spans="1:22">
      <c r="A45" s="5"/>
      <c r="B45" s="6" t="s">
        <v>26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7"/>
      <c r="R45" s="7"/>
      <c r="S45" s="7"/>
      <c r="T45" s="7"/>
      <c r="U45" s="7"/>
      <c r="V45" s="7"/>
    </row>
    <row r="46" spans="1:22">
      <c r="A46" s="5"/>
      <c r="B46" s="6" t="s">
        <v>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7"/>
      <c r="S46" s="7"/>
      <c r="T46" s="7"/>
      <c r="U46" s="7"/>
      <c r="V46" s="7"/>
    </row>
    <row r="47" spans="1:22" ht="45">
      <c r="B47" s="9" t="s">
        <v>29</v>
      </c>
    </row>
    <row r="49" spans="1:22">
      <c r="A49" s="1" t="s">
        <v>74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22">
      <c r="A50" s="2" t="s">
        <v>15</v>
      </c>
      <c r="B50" s="3" t="s">
        <v>28</v>
      </c>
      <c r="C50" s="4">
        <v>1</v>
      </c>
      <c r="D50" s="4">
        <v>2</v>
      </c>
      <c r="E50" s="4">
        <v>3</v>
      </c>
      <c r="F50" s="4">
        <v>4</v>
      </c>
      <c r="G50" s="4">
        <v>5</v>
      </c>
      <c r="H50" s="4">
        <v>6</v>
      </c>
      <c r="I50" s="4">
        <v>7</v>
      </c>
      <c r="J50" s="4">
        <v>8</v>
      </c>
      <c r="K50" s="4">
        <v>9</v>
      </c>
      <c r="L50" s="4">
        <v>10</v>
      </c>
      <c r="M50" s="4">
        <v>11</v>
      </c>
      <c r="N50" s="4">
        <v>12</v>
      </c>
      <c r="O50" s="4">
        <v>13</v>
      </c>
      <c r="P50" s="4">
        <v>14</v>
      </c>
      <c r="Q50" s="4">
        <v>15</v>
      </c>
      <c r="R50" s="4">
        <v>16</v>
      </c>
      <c r="S50" s="4">
        <v>17</v>
      </c>
      <c r="T50" s="4">
        <v>18</v>
      </c>
      <c r="U50" s="4">
        <v>19</v>
      </c>
      <c r="V50" s="4">
        <v>20</v>
      </c>
    </row>
    <row r="51" spans="1:22">
      <c r="A51" s="1" t="s">
        <v>80</v>
      </c>
      <c r="B51" s="6" t="s">
        <v>16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/>
      <c r="S51" s="7"/>
      <c r="T51" s="7"/>
      <c r="U51" s="7"/>
      <c r="V51" s="7"/>
    </row>
    <row r="52" spans="1:22">
      <c r="A52" s="5" t="s">
        <v>73</v>
      </c>
      <c r="B52" s="6" t="s">
        <v>17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/>
      <c r="S52" s="7"/>
      <c r="T52" s="7"/>
      <c r="U52" s="7"/>
      <c r="V52" s="7"/>
    </row>
    <row r="53" spans="1:22">
      <c r="A53" s="5"/>
      <c r="B53" s="8" t="s">
        <v>18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7"/>
      <c r="R53" s="7"/>
      <c r="S53" s="7"/>
      <c r="T53" s="7"/>
      <c r="U53" s="7"/>
      <c r="V53" s="7"/>
    </row>
    <row r="54" spans="1:22">
      <c r="A54" s="5"/>
      <c r="B54" s="6" t="s">
        <v>19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7"/>
      <c r="Q54" s="7"/>
      <c r="R54" s="7"/>
      <c r="S54" s="7"/>
      <c r="T54" s="7"/>
      <c r="U54" s="7"/>
      <c r="V54" s="7"/>
    </row>
    <row r="55" spans="1:22">
      <c r="A55" s="5"/>
      <c r="B55" s="6" t="s">
        <v>20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7"/>
      <c r="Q55" s="7"/>
      <c r="R55" s="7"/>
      <c r="S55" s="7"/>
      <c r="T55" s="7"/>
      <c r="U55" s="7"/>
      <c r="V55" s="7"/>
    </row>
    <row r="56" spans="1:22">
      <c r="A56" s="5"/>
      <c r="B56" s="6" t="s">
        <v>21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7"/>
      <c r="Q56" s="7"/>
      <c r="R56" s="7"/>
      <c r="S56" s="7"/>
      <c r="T56" s="7"/>
      <c r="U56" s="7"/>
      <c r="V56" s="7"/>
    </row>
    <row r="57" spans="1:22">
      <c r="A57" s="5"/>
      <c r="B57" s="6" t="s">
        <v>22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7"/>
      <c r="Q57" s="7"/>
      <c r="R57" s="7"/>
      <c r="S57" s="7"/>
      <c r="T57" s="7"/>
      <c r="U57" s="7"/>
      <c r="V57" s="7"/>
    </row>
    <row r="58" spans="1:22">
      <c r="A58" s="5"/>
      <c r="B58" s="6" t="s">
        <v>23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7"/>
      <c r="Q58" s="7"/>
      <c r="R58" s="7"/>
      <c r="S58" s="7"/>
      <c r="T58" s="7"/>
      <c r="U58" s="7"/>
      <c r="V58" s="7"/>
    </row>
    <row r="59" spans="1:22">
      <c r="A59" s="5"/>
      <c r="B59" s="6" t="s">
        <v>24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7"/>
      <c r="Q59" s="7"/>
      <c r="R59" s="7"/>
      <c r="S59" s="7"/>
      <c r="T59" s="7"/>
      <c r="U59" s="7"/>
      <c r="V59" s="7"/>
    </row>
    <row r="60" spans="1:22">
      <c r="A60" s="5"/>
      <c r="B60" s="6" t="s">
        <v>25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7"/>
      <c r="Q60" s="7"/>
      <c r="R60" s="7"/>
      <c r="S60" s="7"/>
      <c r="T60" s="7"/>
      <c r="U60" s="7"/>
      <c r="V60" s="7"/>
    </row>
    <row r="61" spans="1:22">
      <c r="A61" s="5"/>
      <c r="B61" s="6" t="s">
        <v>26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/>
      <c r="S61" s="7"/>
      <c r="T61" s="7"/>
      <c r="U61" s="7"/>
      <c r="V61" s="7"/>
    </row>
    <row r="62" spans="1:22">
      <c r="A62" s="5"/>
      <c r="B62" s="6" t="s">
        <v>27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7"/>
      <c r="S62" s="7"/>
      <c r="T62" s="7"/>
      <c r="U62" s="7"/>
      <c r="V62" s="7"/>
    </row>
    <row r="63" spans="1:22" ht="45">
      <c r="B63" s="9" t="s">
        <v>29</v>
      </c>
    </row>
    <row r="65" spans="1:22">
      <c r="A65" s="1" t="s">
        <v>72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22">
      <c r="A66" s="2" t="s">
        <v>15</v>
      </c>
      <c r="B66" s="3" t="s">
        <v>28</v>
      </c>
      <c r="C66" s="4">
        <v>1</v>
      </c>
      <c r="D66" s="4">
        <v>2</v>
      </c>
      <c r="E66" s="4">
        <v>3</v>
      </c>
      <c r="F66" s="4">
        <v>4</v>
      </c>
      <c r="G66" s="4">
        <v>5</v>
      </c>
      <c r="H66" s="4">
        <v>6</v>
      </c>
      <c r="I66" s="4">
        <v>7</v>
      </c>
      <c r="J66" s="4">
        <v>8</v>
      </c>
      <c r="K66" s="4">
        <v>9</v>
      </c>
      <c r="L66" s="4">
        <v>10</v>
      </c>
      <c r="M66" s="4">
        <v>11</v>
      </c>
      <c r="N66" s="4">
        <v>12</v>
      </c>
      <c r="O66" s="4">
        <v>13</v>
      </c>
      <c r="P66" s="4">
        <v>14</v>
      </c>
      <c r="Q66" s="4">
        <v>15</v>
      </c>
      <c r="R66" s="4">
        <v>16</v>
      </c>
      <c r="S66" s="4">
        <v>17</v>
      </c>
      <c r="T66" s="4">
        <v>18</v>
      </c>
      <c r="U66" s="4">
        <v>19</v>
      </c>
      <c r="V66" s="4">
        <v>20</v>
      </c>
    </row>
    <row r="67" spans="1:22">
      <c r="A67" s="1" t="s">
        <v>81</v>
      </c>
      <c r="B67" s="6" t="s">
        <v>16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7"/>
      <c r="R67" s="7"/>
      <c r="S67" s="7"/>
      <c r="T67" s="7"/>
      <c r="U67" s="7"/>
      <c r="V67" s="7"/>
    </row>
    <row r="68" spans="1:22">
      <c r="A68" s="5" t="s">
        <v>73</v>
      </c>
      <c r="B68" s="6" t="s">
        <v>17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7"/>
      <c r="R68" s="7"/>
      <c r="S68" s="7"/>
      <c r="T68" s="7"/>
      <c r="U68" s="7"/>
      <c r="V68" s="7"/>
    </row>
    <row r="69" spans="1:22">
      <c r="A69" s="5"/>
      <c r="B69" s="8" t="s">
        <v>18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/>
      <c r="S69" s="7"/>
      <c r="T69" s="7"/>
      <c r="U69" s="7"/>
      <c r="V69" s="7"/>
    </row>
    <row r="70" spans="1:22">
      <c r="A70" s="5"/>
      <c r="B70" s="6" t="s">
        <v>19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7"/>
      <c r="Q70" s="7"/>
      <c r="R70" s="7"/>
      <c r="S70" s="7"/>
      <c r="T70" s="7"/>
      <c r="U70" s="7"/>
      <c r="V70" s="7"/>
    </row>
    <row r="71" spans="1:22">
      <c r="A71" s="5"/>
      <c r="B71" s="6" t="s">
        <v>20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7"/>
      <c r="Q71" s="7"/>
      <c r="R71" s="7"/>
      <c r="S71" s="7"/>
      <c r="T71" s="7"/>
      <c r="U71" s="7"/>
      <c r="V71" s="7"/>
    </row>
    <row r="72" spans="1:22">
      <c r="A72" s="5"/>
      <c r="B72" s="6" t="s">
        <v>21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7"/>
      <c r="Q72" s="7"/>
      <c r="R72" s="7"/>
      <c r="S72" s="7"/>
      <c r="T72" s="7"/>
      <c r="U72" s="7"/>
      <c r="V72" s="7"/>
    </row>
    <row r="73" spans="1:22">
      <c r="A73" s="5"/>
      <c r="B73" s="6" t="s">
        <v>22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7"/>
      <c r="Q73" s="7"/>
      <c r="R73" s="7"/>
      <c r="S73" s="7"/>
      <c r="T73" s="7"/>
      <c r="U73" s="7"/>
      <c r="V73" s="7"/>
    </row>
    <row r="74" spans="1:22">
      <c r="A74" s="5"/>
      <c r="B74" s="6" t="s">
        <v>23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7"/>
      <c r="Q74" s="7"/>
      <c r="R74" s="7"/>
      <c r="S74" s="7"/>
      <c r="T74" s="7"/>
      <c r="U74" s="7"/>
      <c r="V74" s="7"/>
    </row>
    <row r="75" spans="1:22">
      <c r="A75" s="5"/>
      <c r="B75" s="6" t="s">
        <v>24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7"/>
      <c r="Q75" s="7"/>
      <c r="R75" s="7"/>
      <c r="S75" s="7"/>
      <c r="T75" s="7"/>
      <c r="U75" s="7"/>
      <c r="V75" s="7"/>
    </row>
    <row r="76" spans="1:22">
      <c r="A76" s="5"/>
      <c r="B76" s="6" t="s">
        <v>25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7"/>
      <c r="Q76" s="7"/>
      <c r="R76" s="7"/>
      <c r="S76" s="7"/>
      <c r="T76" s="7"/>
      <c r="U76" s="7"/>
      <c r="V76" s="7"/>
    </row>
    <row r="77" spans="1:22">
      <c r="A77" s="5"/>
      <c r="B77" s="6" t="s">
        <v>26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7"/>
      <c r="R77" s="7"/>
      <c r="S77" s="7"/>
      <c r="T77" s="7"/>
      <c r="U77" s="7"/>
      <c r="V77" s="7"/>
    </row>
    <row r="78" spans="1:22">
      <c r="A78" s="5"/>
      <c r="B78" s="6" t="s">
        <v>27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7"/>
      <c r="S78" s="7"/>
      <c r="T78" s="7"/>
      <c r="U78" s="7"/>
      <c r="V78" s="7"/>
    </row>
    <row r="79" spans="1:22" ht="45">
      <c r="B79" s="9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522E-B8C6-4326-9BCF-3CB9C46D6DD5}">
  <dimension ref="A1:J3"/>
  <sheetViews>
    <sheetView workbookViewId="0">
      <selection activeCell="J2" sqref="J2"/>
    </sheetView>
  </sheetViews>
  <sheetFormatPr defaultRowHeight="15"/>
  <cols>
    <col min="1" max="1" width="8.7109375" customWidth="1"/>
    <col min="2" max="3" width="19.5703125" customWidth="1"/>
    <col min="4" max="4" width="14.85546875" customWidth="1"/>
    <col min="5" max="5" width="21.5703125" customWidth="1"/>
    <col min="6" max="6" width="18.85546875" customWidth="1"/>
    <col min="7" max="7" width="14.85546875" customWidth="1"/>
    <col min="8" max="8" width="13.7109375" customWidth="1"/>
    <col min="9" max="9" width="12.140625" customWidth="1"/>
    <col min="10" max="10" width="12.5703125" customWidth="1"/>
  </cols>
  <sheetData>
    <row r="1" spans="1:10" ht="60">
      <c r="A1" s="27" t="s">
        <v>30</v>
      </c>
      <c r="B1" s="28" t="s">
        <v>31</v>
      </c>
      <c r="C1" s="28" t="s">
        <v>82</v>
      </c>
      <c r="D1" s="27" t="s">
        <v>32</v>
      </c>
      <c r="E1" s="27" t="s">
        <v>33</v>
      </c>
      <c r="F1" s="27" t="s">
        <v>34</v>
      </c>
      <c r="G1" s="29" t="s">
        <v>35</v>
      </c>
      <c r="H1" s="29" t="s">
        <v>36</v>
      </c>
      <c r="I1" s="27" t="s">
        <v>83</v>
      </c>
      <c r="J1" s="27" t="s">
        <v>84</v>
      </c>
    </row>
    <row r="2" spans="1:10">
      <c r="I2">
        <v>1</v>
      </c>
    </row>
    <row r="3" spans="1:10">
      <c r="I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0D80-3DEB-4499-B106-0FB5B92E1530}">
  <dimension ref="A2:E34"/>
  <sheetViews>
    <sheetView tabSelected="1" workbookViewId="0">
      <selection activeCell="J28" sqref="J28"/>
    </sheetView>
  </sheetViews>
  <sheetFormatPr defaultColWidth="8.7109375" defaultRowHeight="15.75"/>
  <cols>
    <col min="1" max="1" width="18.42578125" style="13" customWidth="1"/>
    <col min="2" max="2" width="21.140625" style="13" customWidth="1"/>
    <col min="3" max="3" width="21.7109375" style="13" customWidth="1"/>
    <col min="4" max="4" width="22.5703125" style="13" customWidth="1"/>
    <col min="5" max="5" width="19.85546875" style="13" customWidth="1"/>
    <col min="6" max="16384" width="8.7109375" style="13"/>
  </cols>
  <sheetData>
    <row r="2" spans="1:5">
      <c r="A2" s="12" t="s">
        <v>37</v>
      </c>
    </row>
    <row r="4" spans="1:5" ht="31.5">
      <c r="A4" s="30" t="s">
        <v>38</v>
      </c>
      <c r="B4" s="15" t="s">
        <v>39</v>
      </c>
      <c r="C4" s="16" t="s">
        <v>40</v>
      </c>
      <c r="D4" s="16" t="s">
        <v>41</v>
      </c>
      <c r="E4" s="16" t="s">
        <v>42</v>
      </c>
    </row>
    <row r="5" spans="1:5">
      <c r="A5" s="30"/>
      <c r="B5" s="17">
        <v>2569</v>
      </c>
      <c r="C5" s="17">
        <v>2569</v>
      </c>
      <c r="D5" s="17">
        <v>2569</v>
      </c>
      <c r="E5" s="17">
        <v>2569</v>
      </c>
    </row>
    <row r="6" spans="1:5">
      <c r="A6" s="14" t="s">
        <v>43</v>
      </c>
      <c r="B6" s="18">
        <f>B7+B18+B26+B30</f>
        <v>238578</v>
      </c>
      <c r="C6" s="18">
        <f t="shared" ref="C6:D6" si="0">C7+C18+C26+C30</f>
        <v>190001</v>
      </c>
      <c r="D6" s="18">
        <f t="shared" si="0"/>
        <v>464978826</v>
      </c>
      <c r="E6" s="18">
        <f>AVERAGE(E7,E18,E26,E30)</f>
        <v>2382</v>
      </c>
    </row>
    <row r="7" spans="1:5">
      <c r="A7" s="19" t="s">
        <v>44</v>
      </c>
      <c r="B7" s="20">
        <v>121121</v>
      </c>
      <c r="C7" s="20">
        <v>97894</v>
      </c>
      <c r="D7" s="20">
        <v>244424575</v>
      </c>
      <c r="E7" s="20">
        <v>2497</v>
      </c>
    </row>
    <row r="8" spans="1:5">
      <c r="A8" s="21" t="s">
        <v>45</v>
      </c>
      <c r="B8" s="22">
        <v>28775</v>
      </c>
      <c r="C8" s="22">
        <v>22796</v>
      </c>
      <c r="D8" s="22">
        <v>47301700</v>
      </c>
      <c r="E8" s="22">
        <v>2075</v>
      </c>
    </row>
    <row r="9" spans="1:5">
      <c r="A9" s="21" t="s">
        <v>46</v>
      </c>
      <c r="B9" s="22">
        <v>4681</v>
      </c>
      <c r="C9" s="22">
        <v>2045</v>
      </c>
      <c r="D9" s="22">
        <v>3108400</v>
      </c>
      <c r="E9" s="22">
        <v>1520</v>
      </c>
    </row>
    <row r="10" spans="1:5">
      <c r="A10" s="21" t="s">
        <v>47</v>
      </c>
      <c r="B10" s="22">
        <v>9137</v>
      </c>
      <c r="C10" s="22">
        <v>8329</v>
      </c>
      <c r="D10" s="22">
        <v>19789704</v>
      </c>
      <c r="E10" s="22">
        <v>2376</v>
      </c>
    </row>
    <row r="11" spans="1:5">
      <c r="A11" s="21" t="s">
        <v>48</v>
      </c>
      <c r="B11" s="22">
        <v>50296</v>
      </c>
      <c r="C11" s="22">
        <v>43342</v>
      </c>
      <c r="D11" s="22">
        <v>130632788</v>
      </c>
      <c r="E11" s="22">
        <v>3014</v>
      </c>
    </row>
    <row r="12" spans="1:5">
      <c r="A12" s="21" t="s">
        <v>49</v>
      </c>
      <c r="B12" s="22">
        <v>15788</v>
      </c>
      <c r="C12" s="22">
        <v>11970</v>
      </c>
      <c r="D12" s="22">
        <v>30894570</v>
      </c>
      <c r="E12" s="22">
        <v>2581</v>
      </c>
    </row>
    <row r="13" spans="1:5">
      <c r="A13" s="21" t="s">
        <v>50</v>
      </c>
      <c r="B13" s="22">
        <v>2261</v>
      </c>
      <c r="C13" s="22">
        <v>1361</v>
      </c>
      <c r="D13" s="22">
        <v>1857765</v>
      </c>
      <c r="E13" s="22">
        <v>1365</v>
      </c>
    </row>
    <row r="14" spans="1:5">
      <c r="A14" s="21" t="s">
        <v>51</v>
      </c>
      <c r="B14" s="22">
        <v>8717</v>
      </c>
      <c r="C14" s="22">
        <v>7559</v>
      </c>
      <c r="D14" s="22">
        <v>10370948</v>
      </c>
      <c r="E14" s="22">
        <v>1372</v>
      </c>
    </row>
    <row r="15" spans="1:5">
      <c r="A15" s="21" t="s">
        <v>52</v>
      </c>
      <c r="B15" s="22">
        <v>1024</v>
      </c>
      <c r="C15" s="22">
        <v>290</v>
      </c>
      <c r="D15" s="22">
        <v>326250</v>
      </c>
      <c r="E15" s="22">
        <v>1125</v>
      </c>
    </row>
    <row r="16" spans="1:5">
      <c r="A16" s="21" t="s">
        <v>53</v>
      </c>
      <c r="B16" s="22">
        <v>364</v>
      </c>
      <c r="C16" s="22">
        <v>177</v>
      </c>
      <c r="D16" s="22">
        <v>128325</v>
      </c>
      <c r="E16" s="22">
        <v>725</v>
      </c>
    </row>
    <row r="17" spans="1:5">
      <c r="A17" s="21" t="s">
        <v>54</v>
      </c>
      <c r="B17" s="22">
        <v>78</v>
      </c>
      <c r="C17" s="22">
        <v>25</v>
      </c>
      <c r="D17" s="22">
        <v>14125</v>
      </c>
      <c r="E17" s="22">
        <v>565</v>
      </c>
    </row>
    <row r="18" spans="1:5">
      <c r="A18" s="23" t="s">
        <v>55</v>
      </c>
      <c r="B18" s="20">
        <v>31318</v>
      </c>
      <c r="C18" s="20">
        <v>22516</v>
      </c>
      <c r="D18" s="20">
        <v>54569545</v>
      </c>
      <c r="E18" s="20">
        <v>2424</v>
      </c>
    </row>
    <row r="19" spans="1:5">
      <c r="A19" s="24" t="s">
        <v>56</v>
      </c>
      <c r="B19" s="22">
        <v>5157</v>
      </c>
      <c r="C19" s="22">
        <v>2716</v>
      </c>
      <c r="D19" s="22">
        <v>6407044</v>
      </c>
      <c r="E19" s="22">
        <v>2359</v>
      </c>
    </row>
    <row r="20" spans="1:5">
      <c r="A20" s="24" t="s">
        <v>57</v>
      </c>
      <c r="B20" s="22">
        <v>1009</v>
      </c>
      <c r="C20" s="22">
        <v>719</v>
      </c>
      <c r="D20" s="22">
        <v>864238</v>
      </c>
      <c r="E20" s="22">
        <v>1202</v>
      </c>
    </row>
    <row r="21" spans="1:5">
      <c r="A21" s="24" t="s">
        <v>58</v>
      </c>
      <c r="B21" s="22">
        <v>6811</v>
      </c>
      <c r="C21" s="22">
        <v>5116</v>
      </c>
      <c r="D21" s="22">
        <v>12570012</v>
      </c>
      <c r="E21" s="22">
        <v>2457</v>
      </c>
    </row>
    <row r="22" spans="1:5">
      <c r="A22" s="24" t="s">
        <v>59</v>
      </c>
      <c r="B22" s="22">
        <v>2086</v>
      </c>
      <c r="C22" s="22">
        <v>440</v>
      </c>
      <c r="D22" s="22">
        <v>474320</v>
      </c>
      <c r="E22" s="22">
        <v>1078</v>
      </c>
    </row>
    <row r="23" spans="1:5">
      <c r="A23" s="24" t="s">
        <v>60</v>
      </c>
      <c r="B23" s="22">
        <v>2546</v>
      </c>
      <c r="C23" s="22">
        <v>1243</v>
      </c>
      <c r="D23" s="22">
        <v>1500301</v>
      </c>
      <c r="E23" s="22">
        <v>1207</v>
      </c>
    </row>
    <row r="24" spans="1:5">
      <c r="A24" s="24" t="s">
        <v>61</v>
      </c>
      <c r="B24" s="22">
        <v>13207</v>
      </c>
      <c r="C24" s="22">
        <v>11872</v>
      </c>
      <c r="D24" s="22">
        <v>31935680</v>
      </c>
      <c r="E24" s="22">
        <v>2690</v>
      </c>
    </row>
    <row r="25" spans="1:5">
      <c r="A25" s="24" t="s">
        <v>62</v>
      </c>
      <c r="B25" s="22">
        <v>502</v>
      </c>
      <c r="C25" s="22">
        <v>410</v>
      </c>
      <c r="D25" s="22">
        <v>817950</v>
      </c>
      <c r="E25" s="22">
        <v>1995</v>
      </c>
    </row>
    <row r="26" spans="1:5">
      <c r="A26" s="19" t="s">
        <v>63</v>
      </c>
      <c r="B26" s="20">
        <v>13183</v>
      </c>
      <c r="C26" s="20">
        <v>11298</v>
      </c>
      <c r="D26" s="20">
        <v>24652744</v>
      </c>
      <c r="E26" s="20">
        <v>2182</v>
      </c>
    </row>
    <row r="27" spans="1:5">
      <c r="A27" s="21" t="s">
        <v>64</v>
      </c>
      <c r="B27" s="22">
        <v>3661</v>
      </c>
      <c r="C27" s="22">
        <v>2629</v>
      </c>
      <c r="D27" s="22">
        <v>5444659</v>
      </c>
      <c r="E27" s="22">
        <v>2071</v>
      </c>
    </row>
    <row r="28" spans="1:5">
      <c r="A28" s="21" t="s">
        <v>65</v>
      </c>
      <c r="B28" s="22">
        <v>6731</v>
      </c>
      <c r="C28" s="22">
        <v>6250</v>
      </c>
      <c r="D28" s="22">
        <v>13850000</v>
      </c>
      <c r="E28" s="22">
        <v>2216</v>
      </c>
    </row>
    <row r="29" spans="1:5">
      <c r="A29" s="21" t="s">
        <v>66</v>
      </c>
      <c r="B29" s="22">
        <v>2791</v>
      </c>
      <c r="C29" s="22">
        <v>2419</v>
      </c>
      <c r="D29" s="22">
        <v>5358085</v>
      </c>
      <c r="E29" s="22">
        <v>2215</v>
      </c>
    </row>
    <row r="30" spans="1:5">
      <c r="A30" s="23" t="s">
        <v>67</v>
      </c>
      <c r="B30" s="20">
        <v>72956</v>
      </c>
      <c r="C30" s="20">
        <v>58293</v>
      </c>
      <c r="D30" s="20">
        <v>141331962</v>
      </c>
      <c r="E30" s="20">
        <v>2425</v>
      </c>
    </row>
    <row r="31" spans="1:5">
      <c r="A31" s="24" t="s">
        <v>68</v>
      </c>
      <c r="B31" s="22">
        <v>4337</v>
      </c>
      <c r="C31" s="22">
        <v>3630</v>
      </c>
      <c r="D31" s="22">
        <v>7459650</v>
      </c>
      <c r="E31" s="22">
        <v>2055</v>
      </c>
    </row>
    <row r="32" spans="1:5">
      <c r="A32" s="24" t="s">
        <v>69</v>
      </c>
      <c r="B32" s="22">
        <v>6603</v>
      </c>
      <c r="C32" s="22">
        <v>5560</v>
      </c>
      <c r="D32" s="22">
        <v>12882520</v>
      </c>
      <c r="E32" s="22">
        <v>2317</v>
      </c>
    </row>
    <row r="33" spans="1:5">
      <c r="A33" s="24" t="s">
        <v>70</v>
      </c>
      <c r="B33" s="22">
        <v>62016</v>
      </c>
      <c r="C33" s="22">
        <v>49103</v>
      </c>
      <c r="D33" s="22">
        <v>120989792</v>
      </c>
      <c r="E33" s="22">
        <v>2464</v>
      </c>
    </row>
    <row r="34" spans="1:5">
      <c r="A34" s="25" t="s">
        <v>71</v>
      </c>
      <c r="B34" s="26"/>
      <c r="C34" s="26"/>
      <c r="D34" s="26"/>
      <c r="E34" s="26"/>
    </row>
  </sheetData>
  <mergeCells count="1"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ข้อมูลทั่วไป (เก็บ 1 ครั้ง) </vt:lpstr>
      <vt:lpstr>คาดการณ์ผลผลิต</vt:lpstr>
      <vt:lpstr>ผลผลิตในรอบการตัด</vt:lpstr>
      <vt:lpstr>ข้อมูลพื้นที่ ผลผลิต 69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DOAE</dc:creator>
  <cp:lastModifiedBy>Apisith Chaiyachart</cp:lastModifiedBy>
  <dcterms:created xsi:type="dcterms:W3CDTF">2026-09-29T06:43:29Z</dcterms:created>
  <dcterms:modified xsi:type="dcterms:W3CDTF">2026-09-29T14:27:01Z</dcterms:modified>
</cp:coreProperties>
</file>